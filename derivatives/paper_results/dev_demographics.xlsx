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g90-22-debian\jupyter_koehlerca\AFIL\derivatives\clinical\"/>
    </mc:Choice>
  </mc:AlternateContent>
  <xr:revisionPtr revIDLastSave="0" documentId="13_ncr:1_{1D1CE966-75E0-4430-900C-979E0FC8DC07}" xr6:coauthVersionLast="47" xr6:coauthVersionMax="47" xr10:uidLastSave="{00000000-0000-0000-0000-000000000000}"/>
  <bookViews>
    <workbookView xWindow="480" yWindow="1365" windowWidth="17925" windowHeight="12240" xr2:uid="{00000000-000D-0000-FFFF-FFFF00000000}"/>
  </bookViews>
  <sheets>
    <sheet name="Tabelle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2" i="1"/>
  <c r="C25" i="1"/>
</calcChain>
</file>

<file path=xl/sharedStrings.xml><?xml version="1.0" encoding="utf-8"?>
<sst xmlns="http://schemas.openxmlformats.org/spreadsheetml/2006/main" count="62" uniqueCount="35">
  <si>
    <t>F</t>
  </si>
  <si>
    <t>M</t>
  </si>
  <si>
    <t>gender</t>
  </si>
  <si>
    <t>subject_id</t>
  </si>
  <si>
    <t>DEV001</t>
  </si>
  <si>
    <t>DEV002</t>
  </si>
  <si>
    <t>DEV003</t>
  </si>
  <si>
    <t>DEV004</t>
  </si>
  <si>
    <t>DEV005</t>
  </si>
  <si>
    <t>DEV006</t>
  </si>
  <si>
    <t>DEV007</t>
  </si>
  <si>
    <t>DEV008</t>
  </si>
  <si>
    <t>DEV009</t>
  </si>
  <si>
    <t>DEV010</t>
  </si>
  <si>
    <t>DEV012</t>
  </si>
  <si>
    <t>DEV013</t>
  </si>
  <si>
    <t>DEV014</t>
  </si>
  <si>
    <t>DEV016</t>
  </si>
  <si>
    <t>DEV018</t>
  </si>
  <si>
    <t>DEV019</t>
  </si>
  <si>
    <t>DEV020</t>
  </si>
  <si>
    <t>DEV021</t>
  </si>
  <si>
    <t>DEV022</t>
  </si>
  <si>
    <t>DEV023</t>
  </si>
  <si>
    <t>DEV024</t>
  </si>
  <si>
    <t>DEV025</t>
  </si>
  <si>
    <t>DEV026</t>
  </si>
  <si>
    <t>DEV027</t>
  </si>
  <si>
    <t>DEV029</t>
  </si>
  <si>
    <t>DEV030</t>
  </si>
  <si>
    <t>DEV031</t>
  </si>
  <si>
    <t>DEV032</t>
  </si>
  <si>
    <t>DEV034</t>
  </si>
  <si>
    <t>age_baseline</t>
  </si>
  <si>
    <t>match_longterm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</si>
</sst>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Fill="1" applyBorder="1"/>
    <xf numFmtId="0" fontId="0" fillId="0" borderId="0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D3" sqref="D3"/>
    </sheetView>
  </sheetViews>
  <sheetFormatPr baseColWidth="10" defaultRowHeight="15" x14ac:dyDescent="0.25"/>
  <cols>
    <col min="4" max="4" width="20" bestFit="1" customWidth="1"/>
  </cols>
  <sheetData>
    <row r="1" spans="1:4" x14ac:dyDescent="0.25">
      <c r="A1" t="s">
        <v>3</v>
      </c>
      <c r="B1" s="2" t="s">
        <v>2</v>
      </c>
      <c r="C1" s="2" t="s">
        <v>33</v>
      </c>
      <c r="D1" s="2" t="s">
        <v>34</v>
      </c>
    </row>
    <row r="2" spans="1:4" x14ac:dyDescent="0.25">
      <c r="A2" s="2" t="s">
        <v>4</v>
      </c>
      <c r="B2" s="2" t="s">
        <v>0</v>
      </c>
      <c r="C2" s="1">
        <f>2009-1958</f>
        <v>51</v>
      </c>
      <c r="D2">
        <v>1</v>
      </c>
    </row>
    <row r="3" spans="1:4" x14ac:dyDescent="0.25">
      <c r="A3" s="2" t="s">
        <v>5</v>
      </c>
      <c r="B3" s="2" t="s">
        <v>0</v>
      </c>
      <c r="C3" s="1">
        <f>2009-1984</f>
        <v>25</v>
      </c>
      <c r="D3">
        <v>1</v>
      </c>
    </row>
    <row r="4" spans="1:4" x14ac:dyDescent="0.25">
      <c r="A4" s="2" t="s">
        <v>6</v>
      </c>
      <c r="B4" s="2" t="s">
        <v>0</v>
      </c>
      <c r="C4" s="1">
        <f>2009-1966</f>
        <v>43</v>
      </c>
    </row>
    <row r="5" spans="1:4" x14ac:dyDescent="0.25">
      <c r="A5" s="2" t="s">
        <v>7</v>
      </c>
      <c r="B5" s="2" t="s">
        <v>0</v>
      </c>
      <c r="C5" s="1">
        <f>2009-1970</f>
        <v>39</v>
      </c>
      <c r="D5">
        <v>1</v>
      </c>
    </row>
    <row r="6" spans="1:4" x14ac:dyDescent="0.25">
      <c r="A6" s="2" t="s">
        <v>8</v>
      </c>
      <c r="B6" s="2" t="s">
        <v>0</v>
      </c>
      <c r="C6" s="1">
        <f>2009-1979</f>
        <v>30</v>
      </c>
      <c r="D6">
        <v>1</v>
      </c>
    </row>
    <row r="7" spans="1:4" x14ac:dyDescent="0.25">
      <c r="A7" s="2" t="s">
        <v>9</v>
      </c>
      <c r="B7" s="2" t="s">
        <v>0</v>
      </c>
      <c r="C7" s="1">
        <f>2009-1989</f>
        <v>20</v>
      </c>
      <c r="D7">
        <v>1</v>
      </c>
    </row>
    <row r="8" spans="1:4" x14ac:dyDescent="0.25">
      <c r="A8" s="2" t="s">
        <v>10</v>
      </c>
      <c r="B8" s="2" t="s">
        <v>0</v>
      </c>
      <c r="C8" s="1">
        <f>2009-1964</f>
        <v>45</v>
      </c>
    </row>
    <row r="9" spans="1:4" x14ac:dyDescent="0.25">
      <c r="A9" s="2" t="s">
        <v>11</v>
      </c>
      <c r="B9" s="2" t="s">
        <v>0</v>
      </c>
      <c r="C9" s="1">
        <f>2009-1980</f>
        <v>29</v>
      </c>
      <c r="D9">
        <v>1</v>
      </c>
    </row>
    <row r="10" spans="1:4" x14ac:dyDescent="0.25">
      <c r="A10" s="2" t="s">
        <v>12</v>
      </c>
      <c r="B10" s="2" t="s">
        <v>0</v>
      </c>
      <c r="C10" s="1">
        <v>21</v>
      </c>
    </row>
    <row r="11" spans="1:4" x14ac:dyDescent="0.25">
      <c r="A11" s="2" t="s">
        <v>13</v>
      </c>
      <c r="B11" s="2" t="s">
        <v>1</v>
      </c>
      <c r="C11" s="1">
        <v>46</v>
      </c>
      <c r="D11">
        <v>1</v>
      </c>
    </row>
    <row r="12" spans="1:4" x14ac:dyDescent="0.25">
      <c r="A12" s="2" t="s">
        <v>14</v>
      </c>
      <c r="B12" s="2" t="s">
        <v>0</v>
      </c>
      <c r="C12" s="1">
        <f>2009-1984</f>
        <v>25</v>
      </c>
    </row>
    <row r="13" spans="1:4" x14ac:dyDescent="0.25">
      <c r="A13" s="2" t="s">
        <v>15</v>
      </c>
      <c r="B13" s="2" t="s">
        <v>0</v>
      </c>
      <c r="C13" s="1">
        <v>36</v>
      </c>
      <c r="D13">
        <v>1</v>
      </c>
    </row>
    <row r="14" spans="1:4" x14ac:dyDescent="0.25">
      <c r="A14" s="2" t="s">
        <v>16</v>
      </c>
      <c r="B14" s="2" t="s">
        <v>0</v>
      </c>
      <c r="C14" s="1">
        <v>33</v>
      </c>
      <c r="D14">
        <v>1</v>
      </c>
    </row>
    <row r="15" spans="1:4" x14ac:dyDescent="0.25">
      <c r="A15" s="2" t="s">
        <v>17</v>
      </c>
      <c r="B15" s="2" t="s">
        <v>1</v>
      </c>
      <c r="C15" s="1">
        <v>28</v>
      </c>
      <c r="D15">
        <v>1</v>
      </c>
    </row>
    <row r="16" spans="1:4" x14ac:dyDescent="0.25">
      <c r="A16" s="2" t="s">
        <v>18</v>
      </c>
      <c r="B16" s="2" t="s">
        <v>0</v>
      </c>
      <c r="C16" s="1">
        <v>49</v>
      </c>
    </row>
    <row r="17" spans="1:4" x14ac:dyDescent="0.25">
      <c r="A17" s="2" t="s">
        <v>19</v>
      </c>
      <c r="B17" s="2" t="s">
        <v>0</v>
      </c>
      <c r="C17" s="1">
        <v>37</v>
      </c>
      <c r="D17">
        <v>1</v>
      </c>
    </row>
    <row r="18" spans="1:4" x14ac:dyDescent="0.25">
      <c r="A18" s="2" t="s">
        <v>20</v>
      </c>
      <c r="B18" s="2" t="s">
        <v>0</v>
      </c>
      <c r="C18" s="1">
        <v>23</v>
      </c>
      <c r="D18">
        <v>1</v>
      </c>
    </row>
    <row r="19" spans="1:4" x14ac:dyDescent="0.25">
      <c r="A19" s="2" t="s">
        <v>21</v>
      </c>
      <c r="B19" s="2" t="s">
        <v>0</v>
      </c>
      <c r="C19" s="1">
        <v>23</v>
      </c>
      <c r="D19">
        <v>1</v>
      </c>
    </row>
    <row r="20" spans="1:4" x14ac:dyDescent="0.25">
      <c r="A20" s="2" t="s">
        <v>22</v>
      </c>
      <c r="B20" s="2" t="s">
        <v>0</v>
      </c>
      <c r="C20" s="1">
        <v>27</v>
      </c>
      <c r="D20">
        <v>1</v>
      </c>
    </row>
    <row r="21" spans="1:4" x14ac:dyDescent="0.25">
      <c r="A21" s="2" t="s">
        <v>23</v>
      </c>
      <c r="B21" s="2" t="s">
        <v>0</v>
      </c>
      <c r="C21" s="1">
        <v>51</v>
      </c>
      <c r="D21">
        <v>1</v>
      </c>
    </row>
    <row r="22" spans="1:4" x14ac:dyDescent="0.25">
      <c r="A22" s="2" t="s">
        <v>24</v>
      </c>
      <c r="B22" s="2" t="s">
        <v>0</v>
      </c>
      <c r="C22" s="1">
        <v>27</v>
      </c>
      <c r="D22">
        <v>1</v>
      </c>
    </row>
    <row r="23" spans="1:4" x14ac:dyDescent="0.25">
      <c r="A23" s="2" t="s">
        <v>25</v>
      </c>
      <c r="B23" s="2" t="s">
        <v>0</v>
      </c>
      <c r="C23" s="1">
        <v>44</v>
      </c>
      <c r="D23">
        <v>1</v>
      </c>
    </row>
    <row r="24" spans="1:4" x14ac:dyDescent="0.25">
      <c r="A24" s="2" t="s">
        <v>26</v>
      </c>
      <c r="B24" s="2" t="s">
        <v>1</v>
      </c>
      <c r="C24" s="1">
        <v>28</v>
      </c>
      <c r="D24">
        <v>1</v>
      </c>
    </row>
    <row r="25" spans="1:4" x14ac:dyDescent="0.25">
      <c r="A25" s="2" t="s">
        <v>27</v>
      </c>
      <c r="B25" s="2" t="s">
        <v>0</v>
      </c>
      <c r="C25" s="1">
        <f>2010-1978</f>
        <v>32</v>
      </c>
      <c r="D25">
        <v>1</v>
      </c>
    </row>
    <row r="26" spans="1:4" x14ac:dyDescent="0.25">
      <c r="A26" s="2" t="s">
        <v>28</v>
      </c>
      <c r="B26" s="2" t="s">
        <v>0</v>
      </c>
      <c r="C26" s="1">
        <v>23</v>
      </c>
      <c r="D26">
        <v>1</v>
      </c>
    </row>
    <row r="27" spans="1:4" x14ac:dyDescent="0.25">
      <c r="A27" s="2" t="s">
        <v>29</v>
      </c>
      <c r="B27" s="2" t="s">
        <v>0</v>
      </c>
      <c r="C27" s="1">
        <v>44</v>
      </c>
      <c r="D27">
        <v>1</v>
      </c>
    </row>
    <row r="28" spans="1:4" x14ac:dyDescent="0.25">
      <c r="A28" s="2" t="s">
        <v>30</v>
      </c>
      <c r="B28" s="2" t="s">
        <v>0</v>
      </c>
      <c r="C28" s="1">
        <v>31</v>
      </c>
      <c r="D28">
        <v>1</v>
      </c>
    </row>
    <row r="29" spans="1:4" x14ac:dyDescent="0.25">
      <c r="A29" s="2" t="s">
        <v>31</v>
      </c>
      <c r="B29" s="2" t="s">
        <v>0</v>
      </c>
      <c r="C29" s="1">
        <v>32</v>
      </c>
      <c r="D29">
        <v>1</v>
      </c>
    </row>
    <row r="30" spans="1:4" x14ac:dyDescent="0.25">
      <c r="A30" s="2" t="s">
        <v>32</v>
      </c>
      <c r="B30" s="2" t="s">
        <v>0</v>
      </c>
      <c r="C30" s="1">
        <v>35</v>
      </c>
      <c r="D30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Universitätsklinik Carl Gustav Carus Dresden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Köhler, Caroline</dc:creator>
  <cp:lastModifiedBy>Köhler, Caroline</cp:lastModifiedBy>
  <dcterms:created xsi:type="dcterms:W3CDTF">2020-11-26T12:28:35Z</dcterms:created>
  <dcterms:modified xsi:type="dcterms:W3CDTF">2025-11-12T10:41:37Z</dcterms:modified>
</cp:coreProperties>
</file>